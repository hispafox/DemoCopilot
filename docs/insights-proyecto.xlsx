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imaciones" sheetId="2" state="visible" r:id="rId2"/>
    <sheet xmlns:r="http://schemas.openxmlformats.org/officeDocument/2006/relationships" name="Por Área" sheetId="3" state="visible" r:id="rId3"/>
    <sheet xmlns:r="http://schemas.openxmlformats.org/officeDocument/2006/relationships" name="Modelo de Datos" sheetId="4" state="visible" r:id="rId4"/>
    <sheet xmlns:r="http://schemas.openxmlformats.org/officeDocument/2006/relationships" name="Endpoints AP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 &quot;h&quot;"/>
    <numFmt numFmtId="165" formatCode="0.0%"/>
    <numFmt numFmtId="166" formatCode="#,##0.0"/>
    <numFmt numFmtId="167" formatCode="0.0 &quot;días&quot;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404040"/>
      <sz val="10"/>
    </font>
    <font>
      <name val="Arial"/>
      <b val="1"/>
      <color rgb="00C00000"/>
      <sz val="22"/>
    </font>
    <font>
      <name val="Arial"/>
      <b val="1"/>
      <color rgb="0000B050"/>
      <sz val="22"/>
    </font>
    <font>
      <name val="Arial"/>
      <b val="1"/>
      <color rgb="00FF8C00"/>
      <sz val="22"/>
    </font>
    <font>
      <name val="Arial"/>
      <b val="1"/>
      <color rgb="002E75B6"/>
      <sz val="22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B050"/>
      <sz val="10"/>
    </font>
    <font>
      <name val="Arial"/>
      <b val="1"/>
      <color rgb="00C00000"/>
      <sz val="10"/>
    </font>
    <font>
      <name val="Arial"/>
      <color rgb="000000FF"/>
      <sz val="10"/>
    </font>
    <font>
      <name val="Arial"/>
      <b val="1"/>
      <color rgb="00FF8C00"/>
      <sz val="10"/>
    </font>
    <font>
      <name val="Arial"/>
      <b val="1"/>
      <color rgb="00808080"/>
      <sz val="10"/>
    </font>
    <font>
      <name val="Arial"/>
      <i val="1"/>
      <color rgb="00606060"/>
      <sz val="9"/>
    </font>
    <font>
      <name val="Arial"/>
      <b val="1"/>
      <color rgb="00FFFFFF"/>
      <sz val="14"/>
    </font>
    <font>
      <name val="Arial"/>
      <color rgb="00000000"/>
      <sz val="11"/>
    </font>
    <font>
      <name val="Arial"/>
      <color rgb="000000FF"/>
      <sz val="11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b val="1"/>
      <color rgb="00C00000"/>
      <sz val="13"/>
    </font>
    <font>
      <name val="Arial"/>
      <b val="1"/>
      <color rgb="0000B050"/>
      <sz val="13"/>
    </font>
    <font>
      <name val="Arial"/>
      <b val="1"/>
      <color rgb="002E75B6"/>
      <sz val="13"/>
    </font>
    <font>
      <name val="Arial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2E75B6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EBF3FB"/>
      </patternFill>
    </fill>
    <fill>
      <patternFill patternType="solid">
        <fgColor rgb="00C00000"/>
      </patternFill>
    </fill>
    <fill>
      <patternFill patternType="solid">
        <fgColor rgb="0000B050"/>
      </patternFill>
    </fill>
    <fill>
      <patternFill patternType="solid">
        <fgColor rgb="0061AFFE"/>
      </patternFill>
    </fill>
    <fill>
      <patternFill patternType="solid">
        <fgColor rgb="0049CC90"/>
      </patternFill>
    </fill>
    <fill>
      <patternFill patternType="solid">
        <fgColor rgb="00FCA130"/>
      </patternFill>
    </fill>
    <fill>
      <patternFill patternType="solid">
        <fgColor rgb="00F93E3E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6" borderId="0" applyAlignment="1" pivotButton="0" quotePrefix="0" xfId="0">
      <alignment horizontal="left" vertical="center"/>
    </xf>
    <xf numFmtId="0" fontId="9" fillId="7" borderId="2" pivotButton="0" quotePrefix="0" xfId="0"/>
    <xf numFmtId="0" fontId="10" fillId="5" borderId="2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166" fontId="13" fillId="2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15" fillId="5" borderId="2" applyAlignment="1" pivotButton="0" quotePrefix="0" xfId="0">
      <alignment horizontal="left" vertical="center"/>
    </xf>
    <xf numFmtId="166" fontId="16" fillId="5" borderId="2" applyAlignment="1" pivotButton="0" quotePrefix="0" xfId="0">
      <alignment horizontal="center" vertical="center"/>
    </xf>
    <xf numFmtId="166" fontId="10" fillId="5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left" vertical="center"/>
    </xf>
    <xf numFmtId="0" fontId="15" fillId="7" borderId="2" applyAlignment="1" pivotButton="0" quotePrefix="0" xfId="0">
      <alignment horizontal="left" vertical="center"/>
    </xf>
    <xf numFmtId="166" fontId="16" fillId="7" borderId="2" applyAlignment="1" pivotButton="0" quotePrefix="0" xfId="0">
      <alignment horizontal="center" vertical="center"/>
    </xf>
    <xf numFmtId="166" fontId="10" fillId="7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left" vertical="center"/>
    </xf>
    <xf numFmtId="0" fontId="18" fillId="7" borderId="2" applyAlignment="1" pivotButton="0" quotePrefix="0" xfId="0">
      <alignment horizontal="left" vertical="center"/>
    </xf>
    <xf numFmtId="0" fontId="13" fillId="2" borderId="2" pivotButton="0" quotePrefix="0" xfId="0"/>
    <xf numFmtId="0" fontId="0" fillId="0" borderId="2" pivotButton="0" quotePrefix="0" xfId="0"/>
    <xf numFmtId="164" fontId="13" fillId="2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left" vertical="center"/>
    </xf>
    <xf numFmtId="3" fontId="21" fillId="5" borderId="2" applyAlignment="1" pivotButton="0" quotePrefix="0" xfId="0">
      <alignment horizontal="center" vertical="center"/>
    </xf>
    <xf numFmtId="164" fontId="22" fillId="5" borderId="2" applyAlignment="1" pivotButton="0" quotePrefix="0" xfId="0">
      <alignment horizontal="center" vertical="center"/>
    </xf>
    <xf numFmtId="164" fontId="21" fillId="5" borderId="2" applyAlignment="1" pivotButton="0" quotePrefix="0" xfId="0">
      <alignment horizontal="center" vertical="center"/>
    </xf>
    <xf numFmtId="165" fontId="21" fillId="5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left" vertical="center"/>
    </xf>
    <xf numFmtId="3" fontId="21" fillId="7" borderId="2" applyAlignment="1" pivotButton="0" quotePrefix="0" xfId="0">
      <alignment horizontal="center" vertical="center"/>
    </xf>
    <xf numFmtId="164" fontId="22" fillId="7" borderId="2" applyAlignment="1" pivotButton="0" quotePrefix="0" xfId="0">
      <alignment horizontal="center" vertical="center"/>
    </xf>
    <xf numFmtId="164" fontId="21" fillId="7" borderId="2" applyAlignment="1" pivotButton="0" quotePrefix="0" xfId="0">
      <alignment horizontal="center" vertical="center"/>
    </xf>
    <xf numFmtId="165" fontId="21" fillId="7" borderId="2" applyAlignment="1" pivotButton="0" quotePrefix="0" xfId="0">
      <alignment horizontal="center" vertical="center"/>
    </xf>
    <xf numFmtId="0" fontId="13" fillId="2" borderId="0" pivotButton="0" quotePrefix="0" xfId="0"/>
    <xf numFmtId="0" fontId="0" fillId="2" borderId="0" pivotButton="0" quotePrefix="0" xfId="0"/>
    <xf numFmtId="165" fontId="13" fillId="2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pivotButton="0" quotePrefix="0" xfId="0"/>
    <xf numFmtId="167" fontId="25" fillId="0" borderId="0" applyAlignment="1" pivotButton="0" quotePrefix="0" xfId="0">
      <alignment horizontal="center" vertical="center"/>
    </xf>
    <xf numFmtId="167" fontId="26" fillId="0" borderId="0" applyAlignment="1" pivotButton="0" quotePrefix="0" xfId="0">
      <alignment horizontal="center" vertical="center"/>
    </xf>
    <xf numFmtId="167" fontId="27" fillId="0" borderId="0" applyAlignment="1" pivotButton="0" quotePrefix="0" xfId="0">
      <alignment horizontal="center" vertical="center"/>
    </xf>
    <xf numFmtId="0" fontId="28" fillId="2" borderId="0" applyAlignment="1" pivotButton="0" quotePrefix="0" xfId="0">
      <alignment horizontal="left" vertical="center"/>
    </xf>
    <xf numFmtId="0" fontId="21" fillId="5" borderId="2" applyAlignment="1" pivotButton="0" quotePrefix="0" xfId="0">
      <alignment horizontal="left" vertical="center" wrapText="1"/>
    </xf>
    <xf numFmtId="0" fontId="21" fillId="7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9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" customWidth="1" min="4" max="4"/>
    <col width="22" customWidth="1" min="5" max="5"/>
    <col width="6" customWidth="1" min="6" max="6"/>
    <col width="22" customWidth="1" min="7" max="7"/>
    <col width="6" customWidth="1" min="8" max="8"/>
  </cols>
  <sheetData>
    <row r="1" ht="36" customHeight="1">
      <c r="A1" s="1" t="inlineStr">
        <is>
          <t>DemoCopilot — Estimación de Esfuerzo del Proyecto</t>
        </is>
      </c>
    </row>
    <row r="2" ht="20" customHeight="1">
      <c r="A2" s="2" t="inlineStr">
        <is>
          <t>Lista de Tareas · ASP.NET Core 8 · GitHub Copilot Demo</t>
        </is>
      </c>
    </row>
    <row r="4" ht="20" customHeight="1">
      <c r="A4" s="3" t="inlineStr">
        <is>
          <t>Total horas (sin Copilot)</t>
        </is>
      </c>
      <c r="C4" s="3" t="inlineStr">
        <is>
          <t>Total horas (con Copilot)</t>
        </is>
      </c>
      <c r="E4" s="3" t="inlineStr">
        <is>
          <t>Ahorro estimado (horas)</t>
        </is>
      </c>
      <c r="G4" s="3" t="inlineStr">
        <is>
          <t>Ahorro (%)</t>
        </is>
      </c>
    </row>
    <row r="5" ht="40" customHeight="1">
      <c r="A5" s="4">
        <f>'Estimaciones'!J3</f>
        <v/>
      </c>
      <c r="C5" s="5">
        <f>'Estimaciones'!K3</f>
        <v/>
      </c>
      <c r="E5" s="6">
        <f>A5-C5</f>
        <v/>
      </c>
      <c r="G5" s="7">
        <f>(A5-C5)/A5</f>
        <v/>
      </c>
    </row>
    <row r="6" ht="8" customHeight="1">
      <c r="A6" s="8" t="n"/>
      <c r="C6" s="8" t="n"/>
      <c r="E6" s="8" t="n"/>
      <c r="G6" s="8" t="n"/>
    </row>
    <row r="8">
      <c r="A8" s="9" t="inlineStr">
        <is>
          <t>Metodología</t>
        </is>
      </c>
    </row>
    <row r="9" ht="32" customHeight="1">
      <c r="A9" s="10" t="inlineStr">
        <is>
          <t>Estimación sin Copilot</t>
        </is>
      </c>
      <c r="C9" s="11" t="inlineStr">
        <is>
          <t>Tiempo medio de un desarrollador .NET senior trabajando solo, con búsquedas en documentación, StackOverflow y prueba/error habituales.</t>
        </is>
      </c>
    </row>
    <row r="10" ht="32" customHeight="1">
      <c r="A10" s="10" t="inlineStr">
        <is>
          <t>Estimación con Copilot</t>
        </is>
      </c>
      <c r="C10" s="11" t="inlineStr">
        <is>
          <t>Mismo desarrollador usando GitHub Copilot como asistente: autocompletado, generación de boilerplate, tests y explicaciones en contexto. Factor de aceleración ~2-3x en tareas repetitivas.</t>
        </is>
      </c>
    </row>
    <row r="11" ht="32" customHeight="1">
      <c r="A11" s="10" t="inlineStr">
        <is>
          <t>Unidad de medida</t>
        </is>
      </c>
      <c r="C11" s="11" t="inlineStr">
        <is>
          <t>Horas-persona (h). Incluye implementación, tests unitarios y revisión. NO incluye reuniones ni gestión de proyecto.</t>
        </is>
      </c>
    </row>
    <row r="12" ht="32" customHeight="1">
      <c r="A12" s="10" t="inlineStr">
        <is>
          <t>Nivel de confianza</t>
        </is>
      </c>
      <c r="C12" s="11" t="inlineStr">
        <is>
          <t>±20% en todas las estimaciones. Las tareas de infraestructura tienen mayor variabilidad que las de lógica de negocio.</t>
        </is>
      </c>
    </row>
  </sheetData>
  <mergeCells count="23">
    <mergeCell ref="C10:H10"/>
    <mergeCell ref="C6:D6"/>
    <mergeCell ref="A11:B11"/>
    <mergeCell ref="C9:H9"/>
    <mergeCell ref="C5:D5"/>
    <mergeCell ref="E5:F5"/>
    <mergeCell ref="A1:H1"/>
    <mergeCell ref="C12:H12"/>
    <mergeCell ref="A6:B6"/>
    <mergeCell ref="C4:D4"/>
    <mergeCell ref="C11:H11"/>
    <mergeCell ref="E4:F4"/>
    <mergeCell ref="G6:H6"/>
    <mergeCell ref="A12:B12"/>
    <mergeCell ref="E6:F6"/>
    <mergeCell ref="A2:H2"/>
    <mergeCell ref="A5:B5"/>
    <mergeCell ref="G5:H5"/>
    <mergeCell ref="A8:H8"/>
    <mergeCell ref="A4:B4"/>
    <mergeCell ref="G4:H4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13" customWidth="1" min="4" max="4"/>
    <col width="11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  <col width="18" customWidth="1" min="11" max="11"/>
  </cols>
  <sheetData>
    <row r="1" ht="28" customHeight="1">
      <c r="A1" s="12" t="inlineStr">
        <is>
          <t>Estimaciones de Esfuerzo por Funcionalidad</t>
        </is>
      </c>
    </row>
    <row r="2">
      <c r="F2" s="13" t="inlineStr">
        <is>
          <t>Sin GitHub Copilot</t>
        </is>
      </c>
      <c r="I2" s="14" t="inlineStr">
        <is>
          <t>Con GitHub Copilot</t>
        </is>
      </c>
    </row>
    <row r="3">
      <c r="A3" s="15" t="inlineStr">
        <is>
          <t>Área</t>
        </is>
      </c>
      <c r="B3" s="15" t="inlineStr">
        <is>
          <t>Funcionalidad</t>
        </is>
      </c>
      <c r="C3" s="15" t="inlineStr">
        <is>
          <t>Descripción</t>
        </is>
      </c>
      <c r="D3" s="15" t="inlineStr">
        <is>
          <t>Complejidad</t>
        </is>
      </c>
      <c r="E3" s="15" t="inlineStr">
        <is>
          <t>Prioridad</t>
        </is>
      </c>
      <c r="F3" s="15" t="inlineStr">
        <is>
          <t>h sin Copilot
(min)</t>
        </is>
      </c>
      <c r="G3" s="15" t="inlineStr">
        <is>
          <t>h sin Copilot
(prob)</t>
        </is>
      </c>
      <c r="H3" s="15" t="inlineStr">
        <is>
          <t>h sin Copilot
(máx)</t>
        </is>
      </c>
      <c r="I3" s="15" t="inlineStr">
        <is>
          <t>h con Copilot
(prob)</t>
        </is>
      </c>
      <c r="J3" s="16">
        <f>J34</f>
        <v/>
      </c>
      <c r="K3" s="16">
        <f>K34</f>
        <v/>
      </c>
    </row>
    <row r="4" ht="36" customHeight="1">
      <c r="A4" s="17" t="inlineStr">
        <is>
          <t>Infraestructura</t>
        </is>
      </c>
      <c r="B4" s="17" t="inlineStr">
        <is>
          <t>Setup del proyecto</t>
        </is>
      </c>
      <c r="C4" s="11" t="inlineStr">
        <is>
          <t>Crear solución .NET 8, configurar paquetes NuGet, estructura de carpetas</t>
        </is>
      </c>
      <c r="D4" s="18" t="inlineStr">
        <is>
          <t>Baja</t>
        </is>
      </c>
      <c r="E4" s="19" t="inlineStr">
        <is>
          <t>Alta</t>
        </is>
      </c>
      <c r="F4" s="20" t="n">
        <v>1</v>
      </c>
      <c r="G4" s="20" t="n">
        <v>2</v>
      </c>
      <c r="H4" s="20" t="n">
        <v>3</v>
      </c>
      <c r="I4" s="20" t="n">
        <v>0.5</v>
      </c>
      <c r="J4" s="21">
        <f>G4</f>
        <v/>
      </c>
      <c r="K4" s="21">
        <f>I4</f>
        <v/>
      </c>
    </row>
    <row r="5" ht="36" customHeight="1">
      <c r="A5" s="22" t="inlineStr">
        <is>
          <t>Infraestructura</t>
        </is>
      </c>
      <c r="B5" s="22" t="inlineStr">
        <is>
          <t>Configuración EF Core</t>
        </is>
      </c>
      <c r="C5" s="23" t="inlineStr">
        <is>
          <t>AppDbContext, SQLite, cadena de conexión, Program.cs</t>
        </is>
      </c>
      <c r="D5" s="24" t="inlineStr">
        <is>
          <t>Media</t>
        </is>
      </c>
      <c r="E5" s="25" t="inlineStr">
        <is>
          <t>Alta</t>
        </is>
      </c>
      <c r="F5" s="26" t="n">
        <v>2</v>
      </c>
      <c r="G5" s="26" t="n">
        <v>3</v>
      </c>
      <c r="H5" s="26" t="n">
        <v>5</v>
      </c>
      <c r="I5" s="26" t="n">
        <v>1</v>
      </c>
      <c r="J5" s="27">
        <f>G5</f>
        <v/>
      </c>
      <c r="K5" s="27">
        <f>I5</f>
        <v/>
      </c>
    </row>
    <row r="6" ht="36" customHeight="1">
      <c r="A6" s="17" t="inlineStr">
        <is>
          <t>Infraestructura</t>
        </is>
      </c>
      <c r="B6" s="17" t="inlineStr">
        <is>
          <t>Migraciones iniciales</t>
        </is>
      </c>
      <c r="C6" s="11" t="inlineStr">
        <is>
          <t>Primera migración CreacionInicial + update database</t>
        </is>
      </c>
      <c r="D6" s="18" t="inlineStr">
        <is>
          <t>Baja</t>
        </is>
      </c>
      <c r="E6" s="19" t="inlineStr">
        <is>
          <t>Alta</t>
        </is>
      </c>
      <c r="F6" s="20" t="n">
        <v>0.5</v>
      </c>
      <c r="G6" s="20" t="n">
        <v>1</v>
      </c>
      <c r="H6" s="20" t="n">
        <v>1.5</v>
      </c>
      <c r="I6" s="20" t="n">
        <v>0.3</v>
      </c>
      <c r="J6" s="21">
        <f>G6</f>
        <v/>
      </c>
      <c r="K6" s="21">
        <f>I6</f>
        <v/>
      </c>
    </row>
    <row r="7" ht="36" customHeight="1">
      <c r="A7" s="22" t="inlineStr">
        <is>
          <t>Infraestructura</t>
        </is>
      </c>
      <c r="B7" s="22" t="inlineStr">
        <is>
          <t>Datos de ejemplo (seeder)</t>
        </is>
      </c>
      <c r="C7" s="23" t="inlineStr">
        <is>
          <t>DatosEjemplo.cs con registros representativos de cada entidad</t>
        </is>
      </c>
      <c r="D7" s="28" t="inlineStr">
        <is>
          <t>Baja</t>
        </is>
      </c>
      <c r="E7" s="24" t="inlineStr">
        <is>
          <t>Media</t>
        </is>
      </c>
      <c r="F7" s="26" t="n">
        <v>1</v>
      </c>
      <c r="G7" s="26" t="n">
        <v>1.5</v>
      </c>
      <c r="H7" s="26" t="n">
        <v>2.5</v>
      </c>
      <c r="I7" s="26" t="n">
        <v>0.5</v>
      </c>
      <c r="J7" s="27">
        <f>G7</f>
        <v/>
      </c>
      <c r="K7" s="27">
        <f>I7</f>
        <v/>
      </c>
    </row>
    <row r="8" ht="36" customHeight="1">
      <c r="A8" s="17" t="inlineStr">
        <is>
          <t>Infraestructura</t>
        </is>
      </c>
      <c r="B8" s="17" t="inlineStr">
        <is>
          <t>Configuración de Swagger</t>
        </is>
      </c>
      <c r="C8" s="11" t="inlineStr">
        <is>
          <t>Swagger/OpenAPI en Program.cs, anotaciones XML en controladores</t>
        </is>
      </c>
      <c r="D8" s="18" t="inlineStr">
        <is>
          <t>Baja</t>
        </is>
      </c>
      <c r="E8" s="29" t="inlineStr">
        <is>
          <t>Media</t>
        </is>
      </c>
      <c r="F8" s="20" t="n">
        <v>0.5</v>
      </c>
      <c r="G8" s="20" t="n">
        <v>1</v>
      </c>
      <c r="H8" s="20" t="n">
        <v>1.5</v>
      </c>
      <c r="I8" s="20" t="n">
        <v>0.3</v>
      </c>
      <c r="J8" s="21">
        <f>G8</f>
        <v/>
      </c>
      <c r="K8" s="21">
        <f>I8</f>
        <v/>
      </c>
    </row>
    <row r="9" ht="36" customHeight="1">
      <c r="A9" s="22" t="inlineStr">
        <is>
          <t>Modelos</t>
        </is>
      </c>
      <c r="B9" s="22" t="inlineStr">
        <is>
          <t>TodoItem</t>
        </is>
      </c>
      <c r="C9" s="23" t="inlineStr">
        <is>
          <t>Entidad principal con todos los campos: repetitiva, recurrencia, FK opcionales</t>
        </is>
      </c>
      <c r="D9" s="24" t="inlineStr">
        <is>
          <t>Media</t>
        </is>
      </c>
      <c r="E9" s="25" t="inlineStr">
        <is>
          <t>Alta</t>
        </is>
      </c>
      <c r="F9" s="26" t="n">
        <v>1</v>
      </c>
      <c r="G9" s="26" t="n">
        <v>1.5</v>
      </c>
      <c r="H9" s="26" t="n">
        <v>2</v>
      </c>
      <c r="I9" s="26" t="n">
        <v>0.4</v>
      </c>
      <c r="J9" s="27">
        <f>G9</f>
        <v/>
      </c>
      <c r="K9" s="27">
        <f>I9</f>
        <v/>
      </c>
    </row>
    <row r="10" ht="36" customHeight="1">
      <c r="A10" s="17" t="inlineStr">
        <is>
          <t>Modelos</t>
        </is>
      </c>
      <c r="B10" s="17" t="inlineStr">
        <is>
          <t>UsuarioAsignado</t>
        </is>
      </c>
      <c r="C10" s="11" t="inlineStr">
        <is>
          <t>Entidad usuario con nombre y email, relación 1:N con TodoItem</t>
        </is>
      </c>
      <c r="D10" s="18" t="inlineStr">
        <is>
          <t>Baja</t>
        </is>
      </c>
      <c r="E10" s="19" t="inlineStr">
        <is>
          <t>Alta</t>
        </is>
      </c>
      <c r="F10" s="20" t="n">
        <v>0.5</v>
      </c>
      <c r="G10" s="20" t="n">
        <v>1</v>
      </c>
      <c r="H10" s="20" t="n">
        <v>1.5</v>
      </c>
      <c r="I10" s="20" t="n">
        <v>0.3</v>
      </c>
      <c r="J10" s="21">
        <f>G10</f>
        <v/>
      </c>
      <c r="K10" s="21">
        <f>I10</f>
        <v/>
      </c>
    </row>
    <row r="11" ht="36" customHeight="1">
      <c r="A11" s="22" t="inlineStr">
        <is>
          <t>Modelos</t>
        </is>
      </c>
      <c r="B11" s="22" t="inlineStr">
        <is>
          <t>PlantillaTarea</t>
        </is>
      </c>
      <c r="C11" s="23" t="inlineStr">
        <is>
          <t>Entidad plantilla reutilizable con recurrencia por defecto</t>
        </is>
      </c>
      <c r="D11" s="28" t="inlineStr">
        <is>
          <t>Baja</t>
        </is>
      </c>
      <c r="E11" s="25" t="inlineStr">
        <is>
          <t>Alta</t>
        </is>
      </c>
      <c r="F11" s="26" t="n">
        <v>0.5</v>
      </c>
      <c r="G11" s="26" t="n">
        <v>1</v>
      </c>
      <c r="H11" s="26" t="n">
        <v>1.5</v>
      </c>
      <c r="I11" s="26" t="n">
        <v>0.3</v>
      </c>
      <c r="J11" s="27">
        <f>G11</f>
        <v/>
      </c>
      <c r="K11" s="27">
        <f>I11</f>
        <v/>
      </c>
    </row>
    <row r="12" ht="36" customHeight="1">
      <c r="A12" s="17" t="inlineStr">
        <is>
          <t>Modelos</t>
        </is>
      </c>
      <c r="B12" s="17" t="inlineStr">
        <is>
          <t>TipoRecurrencia (enum)</t>
        </is>
      </c>
      <c r="C12" s="11" t="inlineStr">
        <is>
          <t>Enum Diaria/Semanal/Mensual</t>
        </is>
      </c>
      <c r="D12" s="18" t="inlineStr">
        <is>
          <t>Baja</t>
        </is>
      </c>
      <c r="E12" s="19" t="inlineStr">
        <is>
          <t>Alta</t>
        </is>
      </c>
      <c r="F12" s="20" t="n">
        <v>0.2</v>
      </c>
      <c r="G12" s="20" t="n">
        <v>0.3</v>
      </c>
      <c r="H12" s="20" t="n">
        <v>0.5</v>
      </c>
      <c r="I12" s="20" t="n">
        <v>0.1</v>
      </c>
      <c r="J12" s="21">
        <f>G12</f>
        <v/>
      </c>
      <c r="K12" s="21">
        <f>I12</f>
        <v/>
      </c>
    </row>
    <row r="13" ht="36" customHeight="1">
      <c r="A13" s="22" t="inlineStr">
        <is>
          <t>Modelos</t>
        </is>
      </c>
      <c r="B13" s="22" t="inlineStr">
        <is>
          <t>Fluent API / configuración</t>
        </is>
      </c>
      <c r="C13" s="23" t="inlineStr">
        <is>
          <t>Configuración de relaciones, índices y restricciones en AppDbContext</t>
        </is>
      </c>
      <c r="D13" s="24" t="inlineStr">
        <is>
          <t>Media</t>
        </is>
      </c>
      <c r="E13" s="25" t="inlineStr">
        <is>
          <t>Alta</t>
        </is>
      </c>
      <c r="F13" s="26" t="n">
        <v>1.5</v>
      </c>
      <c r="G13" s="26" t="n">
        <v>2</v>
      </c>
      <c r="H13" s="26" t="n">
        <v>3</v>
      </c>
      <c r="I13" s="26" t="n">
        <v>0.7</v>
      </c>
      <c r="J13" s="27">
        <f>G13</f>
        <v/>
      </c>
      <c r="K13" s="27">
        <f>I13</f>
        <v/>
      </c>
    </row>
    <row r="14" ht="36" customHeight="1">
      <c r="A14" s="17" t="inlineStr">
        <is>
          <t>DTOs</t>
        </is>
      </c>
      <c r="B14" s="17" t="inlineStr">
        <is>
          <t>TareasDtos</t>
        </is>
      </c>
      <c r="C14" s="11" t="inlineStr">
        <is>
          <t>CrearTareaDto, ActualizarTareaDto, TareaResponseDto con validaciones básicas</t>
        </is>
      </c>
      <c r="D14" s="18" t="inlineStr">
        <is>
          <t>Baja</t>
        </is>
      </c>
      <c r="E14" s="19" t="inlineStr">
        <is>
          <t>Alta</t>
        </is>
      </c>
      <c r="F14" s="20" t="n">
        <v>1</v>
      </c>
      <c r="G14" s="20" t="n">
        <v>1.5</v>
      </c>
      <c r="H14" s="20" t="n">
        <v>2</v>
      </c>
      <c r="I14" s="20" t="n">
        <v>0.4</v>
      </c>
      <c r="J14" s="21">
        <f>G14</f>
        <v/>
      </c>
      <c r="K14" s="21">
        <f>I14</f>
        <v/>
      </c>
    </row>
    <row r="15" ht="36" customHeight="1">
      <c r="A15" s="22" t="inlineStr">
        <is>
          <t>DTOs</t>
        </is>
      </c>
      <c r="B15" s="22" t="inlineStr">
        <is>
          <t>UsuariosAsignadosDtos</t>
        </is>
      </c>
      <c r="C15" s="23" t="inlineStr">
        <is>
          <t>CrearUsuarioDto, ActualizarUsuarioDto, UsuarioResponseDto</t>
        </is>
      </c>
      <c r="D15" s="28" t="inlineStr">
        <is>
          <t>Baja</t>
        </is>
      </c>
      <c r="E15" s="25" t="inlineStr">
        <is>
          <t>Alta</t>
        </is>
      </c>
      <c r="F15" s="26" t="n">
        <v>0.5</v>
      </c>
      <c r="G15" s="26" t="n">
        <v>1</v>
      </c>
      <c r="H15" s="26" t="n">
        <v>1.5</v>
      </c>
      <c r="I15" s="26" t="n">
        <v>0.3</v>
      </c>
      <c r="J15" s="27">
        <f>G15</f>
        <v/>
      </c>
      <c r="K15" s="27">
        <f>I15</f>
        <v/>
      </c>
    </row>
    <row r="16" ht="36" customHeight="1">
      <c r="A16" s="17" t="inlineStr">
        <is>
          <t>DTOs</t>
        </is>
      </c>
      <c r="B16" s="17" t="inlineStr">
        <is>
          <t>PlantillasDtos</t>
        </is>
      </c>
      <c r="C16" s="11" t="inlineStr">
        <is>
          <t>CrearPlantillaDto, ActualizarPlantillaDto, PlantillaResponseDto</t>
        </is>
      </c>
      <c r="D16" s="18" t="inlineStr">
        <is>
          <t>Baja</t>
        </is>
      </c>
      <c r="E16" s="19" t="inlineStr">
        <is>
          <t>Alta</t>
        </is>
      </c>
      <c r="F16" s="20" t="n">
        <v>0.5</v>
      </c>
      <c r="G16" s="20" t="n">
        <v>1</v>
      </c>
      <c r="H16" s="20" t="n">
        <v>1.5</v>
      </c>
      <c r="I16" s="20" t="n">
        <v>0.3</v>
      </c>
      <c r="J16" s="21">
        <f>G16</f>
        <v/>
      </c>
      <c r="K16" s="21">
        <f>I16</f>
        <v/>
      </c>
    </row>
    <row r="17" ht="36" customHeight="1">
      <c r="A17" s="22" t="inlineStr">
        <is>
          <t>Lógica Negocio</t>
        </is>
      </c>
      <c r="B17" s="22" t="inlineStr">
        <is>
          <t>ITodoLogica + TodoLogica</t>
        </is>
      </c>
      <c r="C17" s="23" t="inlineStr">
        <is>
          <t>CRUD básico de tareas + lógica de completar con generación de recurrencia</t>
        </is>
      </c>
      <c r="D17" s="25" t="inlineStr">
        <is>
          <t>Alta</t>
        </is>
      </c>
      <c r="E17" s="25" t="inlineStr">
        <is>
          <t>Alta</t>
        </is>
      </c>
      <c r="F17" s="26" t="n">
        <v>3</v>
      </c>
      <c r="G17" s="26" t="n">
        <v>5</v>
      </c>
      <c r="H17" s="26" t="n">
        <v>8</v>
      </c>
      <c r="I17" s="26" t="n">
        <v>1.5</v>
      </c>
      <c r="J17" s="27">
        <f>G17</f>
        <v/>
      </c>
      <c r="K17" s="27">
        <f>I17</f>
        <v/>
      </c>
    </row>
    <row r="18" ht="36" customHeight="1">
      <c r="A18" s="17" t="inlineStr">
        <is>
          <t>Lógica Negocio</t>
        </is>
      </c>
      <c r="B18" s="17" t="inlineStr">
        <is>
          <t>IUsuarioAsignadoLogica</t>
        </is>
      </c>
      <c r="C18" s="11" t="inlineStr">
        <is>
          <t>CRUD de usuarios, validación de email único</t>
        </is>
      </c>
      <c r="D18" s="29" t="inlineStr">
        <is>
          <t>Media</t>
        </is>
      </c>
      <c r="E18" s="19" t="inlineStr">
        <is>
          <t>Alta</t>
        </is>
      </c>
      <c r="F18" s="20" t="n">
        <v>2</v>
      </c>
      <c r="G18" s="20" t="n">
        <v>3</v>
      </c>
      <c r="H18" s="20" t="n">
        <v>4</v>
      </c>
      <c r="I18" s="20" t="n">
        <v>1</v>
      </c>
      <c r="J18" s="21">
        <f>G18</f>
        <v/>
      </c>
      <c r="K18" s="21">
        <f>I18</f>
        <v/>
      </c>
    </row>
    <row r="19" ht="36" customHeight="1">
      <c r="A19" s="22" t="inlineStr">
        <is>
          <t>Lógica Negocio</t>
        </is>
      </c>
      <c r="B19" s="22" t="inlineStr">
        <is>
          <t>IPlantillaLogica</t>
        </is>
      </c>
      <c r="C19" s="23" t="inlineStr">
        <is>
          <t>CRUD de plantillas + instanciar plantilla en nueva tarea</t>
        </is>
      </c>
      <c r="D19" s="24" t="inlineStr">
        <is>
          <t>Media</t>
        </is>
      </c>
      <c r="E19" s="25" t="inlineStr">
        <is>
          <t>Alta</t>
        </is>
      </c>
      <c r="F19" s="26" t="n">
        <v>2</v>
      </c>
      <c r="G19" s="26" t="n">
        <v>3</v>
      </c>
      <c r="H19" s="26" t="n">
        <v>5</v>
      </c>
      <c r="I19" s="26" t="n">
        <v>1</v>
      </c>
      <c r="J19" s="27">
        <f>G19</f>
        <v/>
      </c>
      <c r="K19" s="27">
        <f>I19</f>
        <v/>
      </c>
    </row>
    <row r="20" ht="36" customHeight="1">
      <c r="A20" s="17" t="inlineStr">
        <is>
          <t>Lógica Negocio</t>
        </is>
      </c>
      <c r="B20" s="17" t="inlineStr">
        <is>
          <t>Validaciones de negocio</t>
        </is>
      </c>
      <c r="C20" s="11" t="inlineStr">
        <is>
          <t>Validar existencia por ID, reglas de recurrencia, email formato</t>
        </is>
      </c>
      <c r="D20" s="29" t="inlineStr">
        <is>
          <t>Media</t>
        </is>
      </c>
      <c r="E20" s="19" t="inlineStr">
        <is>
          <t>Alta</t>
        </is>
      </c>
      <c r="F20" s="20" t="n">
        <v>2</v>
      </c>
      <c r="G20" s="20" t="n">
        <v>3</v>
      </c>
      <c r="H20" s="20" t="n">
        <v>4</v>
      </c>
      <c r="I20" s="20" t="n">
        <v>1</v>
      </c>
      <c r="J20" s="21">
        <f>G20</f>
        <v/>
      </c>
      <c r="K20" s="21">
        <f>I20</f>
        <v/>
      </c>
    </row>
    <row r="21" ht="36" customHeight="1">
      <c r="A21" s="22" t="inlineStr">
        <is>
          <t>Servicios</t>
        </is>
      </c>
      <c r="B21" s="22" t="inlineStr">
        <is>
          <t>ITodoService + TodoService</t>
        </is>
      </c>
      <c r="C21" s="23" t="inlineStr">
        <is>
          <t>Mapeo DTO↔Entidad, orquestación de llamadas a lógica de negocio</t>
        </is>
      </c>
      <c r="D21" s="24" t="inlineStr">
        <is>
          <t>Media</t>
        </is>
      </c>
      <c r="E21" s="25" t="inlineStr">
        <is>
          <t>Alta</t>
        </is>
      </c>
      <c r="F21" s="26" t="n">
        <v>2</v>
      </c>
      <c r="G21" s="26" t="n">
        <v>3</v>
      </c>
      <c r="H21" s="26" t="n">
        <v>4</v>
      </c>
      <c r="I21" s="26" t="n">
        <v>1</v>
      </c>
      <c r="J21" s="27">
        <f>G21</f>
        <v/>
      </c>
      <c r="K21" s="27">
        <f>I21</f>
        <v/>
      </c>
    </row>
    <row r="22" ht="36" customHeight="1">
      <c r="A22" s="17" t="inlineStr">
        <is>
          <t>Servicios</t>
        </is>
      </c>
      <c r="B22" s="17" t="inlineStr">
        <is>
          <t>IUsuarioAsignadoService</t>
        </is>
      </c>
      <c r="C22" s="11" t="inlineStr">
        <is>
          <t>Capa de servicio para usuarios, mapeos</t>
        </is>
      </c>
      <c r="D22" s="18" t="inlineStr">
        <is>
          <t>Baja</t>
        </is>
      </c>
      <c r="E22" s="19" t="inlineStr">
        <is>
          <t>Alta</t>
        </is>
      </c>
      <c r="F22" s="20" t="n">
        <v>1</v>
      </c>
      <c r="G22" s="20" t="n">
        <v>1.5</v>
      </c>
      <c r="H22" s="20" t="n">
        <v>2.5</v>
      </c>
      <c r="I22" s="20" t="n">
        <v>0.5</v>
      </c>
      <c r="J22" s="21">
        <f>G22</f>
        <v/>
      </c>
      <c r="K22" s="21">
        <f>I22</f>
        <v/>
      </c>
    </row>
    <row r="23" ht="36" customHeight="1">
      <c r="A23" s="22" t="inlineStr">
        <is>
          <t>Servicios</t>
        </is>
      </c>
      <c r="B23" s="22" t="inlineStr">
        <is>
          <t>IPlantillaService</t>
        </is>
      </c>
      <c r="C23" s="23" t="inlineStr">
        <is>
          <t>Capa de servicio para plantillas, mapeos</t>
        </is>
      </c>
      <c r="D23" s="28" t="inlineStr">
        <is>
          <t>Baja</t>
        </is>
      </c>
      <c r="E23" s="25" t="inlineStr">
        <is>
          <t>Alta</t>
        </is>
      </c>
      <c r="F23" s="26" t="n">
        <v>1</v>
      </c>
      <c r="G23" s="26" t="n">
        <v>1.5</v>
      </c>
      <c r="H23" s="26" t="n">
        <v>2.5</v>
      </c>
      <c r="I23" s="26" t="n">
        <v>0.5</v>
      </c>
      <c r="J23" s="27">
        <f>G23</f>
        <v/>
      </c>
      <c r="K23" s="27">
        <f>I23</f>
        <v/>
      </c>
    </row>
    <row r="24" ht="36" customHeight="1">
      <c r="A24" s="17" t="inlineStr">
        <is>
          <t>Servicios</t>
        </is>
      </c>
      <c r="B24" s="17" t="inlineStr">
        <is>
          <t>Registro de DI en Program.cs</t>
        </is>
      </c>
      <c r="C24" s="11" t="inlineStr">
        <is>
          <t>AddScoped para todos los servicios y lógicas, inyección de dependencias</t>
        </is>
      </c>
      <c r="D24" s="18" t="inlineStr">
        <is>
          <t>Baja</t>
        </is>
      </c>
      <c r="E24" s="19" t="inlineStr">
        <is>
          <t>Alta</t>
        </is>
      </c>
      <c r="F24" s="20" t="n">
        <v>0.5</v>
      </c>
      <c r="G24" s="20" t="n">
        <v>0.5</v>
      </c>
      <c r="H24" s="20" t="n">
        <v>1</v>
      </c>
      <c r="I24" s="20" t="n">
        <v>0.2</v>
      </c>
      <c r="J24" s="21">
        <f>G24</f>
        <v/>
      </c>
      <c r="K24" s="21">
        <f>I24</f>
        <v/>
      </c>
    </row>
    <row r="25" ht="36" customHeight="1">
      <c r="A25" s="22" t="inlineStr">
        <is>
          <t>Controladores</t>
        </is>
      </c>
      <c r="B25" s="22" t="inlineStr">
        <is>
          <t>TareasController</t>
        </is>
      </c>
      <c r="C25" s="23" t="inlineStr">
        <is>
          <t>6 endpoints: GET, GET/{id}, POST, PUT, DELETE, POST/completar</t>
        </is>
      </c>
      <c r="D25" s="24" t="inlineStr">
        <is>
          <t>Media</t>
        </is>
      </c>
      <c r="E25" s="25" t="inlineStr">
        <is>
          <t>Alta</t>
        </is>
      </c>
      <c r="F25" s="26" t="n">
        <v>2</v>
      </c>
      <c r="G25" s="26" t="n">
        <v>3</v>
      </c>
      <c r="H25" s="26" t="n">
        <v>4</v>
      </c>
      <c r="I25" s="26" t="n">
        <v>0.8</v>
      </c>
      <c r="J25" s="27">
        <f>G25</f>
        <v/>
      </c>
      <c r="K25" s="27">
        <f>I25</f>
        <v/>
      </c>
    </row>
    <row r="26" ht="36" customHeight="1">
      <c r="A26" s="17" t="inlineStr">
        <is>
          <t>Controladores</t>
        </is>
      </c>
      <c r="B26" s="17" t="inlineStr">
        <is>
          <t>UsuariosAsignadosController</t>
        </is>
      </c>
      <c r="C26" s="11" t="inlineStr">
        <is>
          <t>5 endpoints CRUD estándar</t>
        </is>
      </c>
      <c r="D26" s="18" t="inlineStr">
        <is>
          <t>Baja</t>
        </is>
      </c>
      <c r="E26" s="19" t="inlineStr">
        <is>
          <t>Alta</t>
        </is>
      </c>
      <c r="F26" s="20" t="n">
        <v>1.5</v>
      </c>
      <c r="G26" s="20" t="n">
        <v>2</v>
      </c>
      <c r="H26" s="20" t="n">
        <v>3</v>
      </c>
      <c r="I26" s="20" t="n">
        <v>0.6</v>
      </c>
      <c r="J26" s="21">
        <f>G26</f>
        <v/>
      </c>
      <c r="K26" s="21">
        <f>I26</f>
        <v/>
      </c>
    </row>
    <row r="27" ht="36" customHeight="1">
      <c r="A27" s="22" t="inlineStr">
        <is>
          <t>Controladores</t>
        </is>
      </c>
      <c r="B27" s="22" t="inlineStr">
        <is>
          <t>PlantillasController</t>
        </is>
      </c>
      <c r="C27" s="23" t="inlineStr">
        <is>
          <t>6 endpoints CRUD + instanciar</t>
        </is>
      </c>
      <c r="D27" s="24" t="inlineStr">
        <is>
          <t>Media</t>
        </is>
      </c>
      <c r="E27" s="25" t="inlineStr">
        <is>
          <t>Alta</t>
        </is>
      </c>
      <c r="F27" s="26" t="n">
        <v>2</v>
      </c>
      <c r="G27" s="26" t="n">
        <v>2.5</v>
      </c>
      <c r="H27" s="26" t="n">
        <v>3.5</v>
      </c>
      <c r="I27" s="26" t="n">
        <v>0.7</v>
      </c>
      <c r="J27" s="27">
        <f>G27</f>
        <v/>
      </c>
      <c r="K27" s="27">
        <f>I27</f>
        <v/>
      </c>
    </row>
    <row r="28" ht="36" customHeight="1">
      <c r="A28" s="17" t="inlineStr">
        <is>
          <t>Tests</t>
        </is>
      </c>
      <c r="B28" s="17" t="inlineStr">
        <is>
          <t>Tests TareasService</t>
        </is>
      </c>
      <c r="C28" s="11" t="inlineStr">
        <is>
          <t>Tests unitarios CRUD + completar con y sin recurrencia (xUnit + Moq)</t>
        </is>
      </c>
      <c r="D28" s="19" t="inlineStr">
        <is>
          <t>Alta</t>
        </is>
      </c>
      <c r="E28" s="19" t="inlineStr">
        <is>
          <t>Alta</t>
        </is>
      </c>
      <c r="F28" s="20" t="n">
        <v>3</v>
      </c>
      <c r="G28" s="20" t="n">
        <v>5</v>
      </c>
      <c r="H28" s="20" t="n">
        <v>8</v>
      </c>
      <c r="I28" s="20" t="n">
        <v>1.5</v>
      </c>
      <c r="J28" s="21">
        <f>G28</f>
        <v/>
      </c>
      <c r="K28" s="21">
        <f>I28</f>
        <v/>
      </c>
    </row>
    <row r="29" ht="36" customHeight="1">
      <c r="A29" s="22" t="inlineStr">
        <is>
          <t>Tests</t>
        </is>
      </c>
      <c r="B29" s="22" t="inlineStr">
        <is>
          <t>Tests UsuariosService</t>
        </is>
      </c>
      <c r="C29" s="23" t="inlineStr">
        <is>
          <t>Tests unitarios CRUD + validación email único</t>
        </is>
      </c>
      <c r="D29" s="24" t="inlineStr">
        <is>
          <t>Media</t>
        </is>
      </c>
      <c r="E29" s="24" t="inlineStr">
        <is>
          <t>Media</t>
        </is>
      </c>
      <c r="F29" s="26" t="n">
        <v>2</v>
      </c>
      <c r="G29" s="26" t="n">
        <v>3</v>
      </c>
      <c r="H29" s="26" t="n">
        <v>5</v>
      </c>
      <c r="I29" s="26" t="n">
        <v>1</v>
      </c>
      <c r="J29" s="27">
        <f>G29</f>
        <v/>
      </c>
      <c r="K29" s="27">
        <f>I29</f>
        <v/>
      </c>
    </row>
    <row r="30" ht="36" customHeight="1">
      <c r="A30" s="17" t="inlineStr">
        <is>
          <t>Tests</t>
        </is>
      </c>
      <c r="B30" s="17" t="inlineStr">
        <is>
          <t>Tests PlantillaService</t>
        </is>
      </c>
      <c r="C30" s="11" t="inlineStr">
        <is>
          <t>Tests unitarios CRUD + instanciar</t>
        </is>
      </c>
      <c r="D30" s="29" t="inlineStr">
        <is>
          <t>Media</t>
        </is>
      </c>
      <c r="E30" s="29" t="inlineStr">
        <is>
          <t>Media</t>
        </is>
      </c>
      <c r="F30" s="20" t="n">
        <v>2</v>
      </c>
      <c r="G30" s="20" t="n">
        <v>3</v>
      </c>
      <c r="H30" s="20" t="n">
        <v>5</v>
      </c>
      <c r="I30" s="20" t="n">
        <v>1</v>
      </c>
      <c r="J30" s="21">
        <f>G30</f>
        <v/>
      </c>
      <c r="K30" s="21">
        <f>I30</f>
        <v/>
      </c>
    </row>
    <row r="31" ht="36" customHeight="1">
      <c r="A31" s="22" t="inlineStr">
        <is>
          <t>Tests</t>
        </is>
      </c>
      <c r="B31" s="22" t="inlineStr">
        <is>
          <t>Tests controladores</t>
        </is>
      </c>
      <c r="C31" s="23" t="inlineStr">
        <is>
          <t>Tests de integración básicos de los endpoints principales</t>
        </is>
      </c>
      <c r="D31" s="25" t="inlineStr">
        <is>
          <t>Alta</t>
        </is>
      </c>
      <c r="E31" s="30" t="inlineStr">
        <is>
          <t>Baja</t>
        </is>
      </c>
      <c r="F31" s="26" t="n">
        <v>4</v>
      </c>
      <c r="G31" s="26" t="n">
        <v>6</v>
      </c>
      <c r="H31" s="26" t="n">
        <v>10</v>
      </c>
      <c r="I31" s="26" t="n">
        <v>2</v>
      </c>
      <c r="J31" s="27">
        <f>G31</f>
        <v/>
      </c>
      <c r="K31" s="27">
        <f>I31</f>
        <v/>
      </c>
    </row>
    <row r="32" ht="36" customHeight="1">
      <c r="A32" s="17" t="inlineStr">
        <is>
          <t>Documentación</t>
        </is>
      </c>
      <c r="B32" s="17" t="inlineStr">
        <is>
          <t>Análisis y Diseño (Markdown)</t>
        </is>
      </c>
      <c r="C32" s="11" t="inlineStr">
        <is>
          <t>docs/analisis-diseño.md con arquitectura, modelos, endpoints</t>
        </is>
      </c>
      <c r="D32" s="18" t="inlineStr">
        <is>
          <t>Baja</t>
        </is>
      </c>
      <c r="E32" s="29" t="inlineStr">
        <is>
          <t>Media</t>
        </is>
      </c>
      <c r="F32" s="20" t="n">
        <v>1</v>
      </c>
      <c r="G32" s="20" t="n">
        <v>2</v>
      </c>
      <c r="H32" s="20" t="n">
        <v>3</v>
      </c>
      <c r="I32" s="20" t="n">
        <v>0.5</v>
      </c>
      <c r="J32" s="21">
        <f>G32</f>
        <v/>
      </c>
      <c r="K32" s="21">
        <f>I32</f>
        <v/>
      </c>
    </row>
    <row r="33" ht="36" customHeight="1">
      <c r="A33" s="22" t="inlineStr">
        <is>
          <t>Documentación</t>
        </is>
      </c>
      <c r="B33" s="22" t="inlineStr">
        <is>
          <t>README.md</t>
        </is>
      </c>
      <c r="C33" s="23" t="inlineStr">
        <is>
          <t>Instrucciones de arranque, estructura del proyecto, comandos útiles</t>
        </is>
      </c>
      <c r="D33" s="28" t="inlineStr">
        <is>
          <t>Baja</t>
        </is>
      </c>
      <c r="E33" s="30" t="inlineStr">
        <is>
          <t>Baja</t>
        </is>
      </c>
      <c r="F33" s="26" t="n">
        <v>0.5</v>
      </c>
      <c r="G33" s="26" t="n">
        <v>1</v>
      </c>
      <c r="H33" s="26" t="n">
        <v>1.5</v>
      </c>
      <c r="I33" s="26" t="n">
        <v>0.3</v>
      </c>
      <c r="J33" s="27">
        <f>G33</f>
        <v/>
      </c>
      <c r="K33" s="27">
        <f>I33</f>
        <v/>
      </c>
    </row>
    <row r="34" ht="28" customHeight="1">
      <c r="A34" s="31" t="inlineStr">
        <is>
          <t>TOTAL PROYECTO</t>
        </is>
      </c>
      <c r="B34" s="32" t="n"/>
      <c r="C34" s="32" t="n"/>
      <c r="D34" s="32" t="n"/>
      <c r="E34" s="32" t="n"/>
      <c r="F34" s="33">
        <f>SUM(F4:F33)</f>
        <v/>
      </c>
      <c r="G34" s="33">
        <f>SUM(G4:G33)</f>
        <v/>
      </c>
      <c r="H34" s="33">
        <f>SUM(H4:H33)</f>
        <v/>
      </c>
      <c r="I34" s="33">
        <f>SUM(I4:I33)</f>
        <v/>
      </c>
      <c r="J34" s="33">
        <f>SUM(J4:J33)</f>
        <v/>
      </c>
      <c r="K34" s="33">
        <f>SUM(K4:K33)</f>
        <v/>
      </c>
    </row>
    <row r="36">
      <c r="A36" s="34" t="inlineStr">
        <is>
          <t>Leyenda:  🔵 Azul = inputs editables  |  Complejidad: Verde=Baja  Naranja=Media  Rojo=Alta  |  Estimaciones en horas-persona (h)  |  Confianza: ±20%</t>
        </is>
      </c>
    </row>
  </sheetData>
  <mergeCells count="5">
    <mergeCell ref="A34:E34"/>
    <mergeCell ref="I2:K2"/>
    <mergeCell ref="F2:H2"/>
    <mergeCell ref="A36:K3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8" customHeight="1">
      <c r="A1" s="35" t="inlineStr">
        <is>
          <t>Resumen de Esfuerzo por Área</t>
        </is>
      </c>
    </row>
    <row r="2">
      <c r="A2" s="36" t="inlineStr">
        <is>
          <t>Área</t>
        </is>
      </c>
      <c r="B2" s="36" t="inlineStr">
        <is>
          <t>Funcionalidades</t>
        </is>
      </c>
      <c r="C2" s="36" t="inlineStr">
        <is>
          <t>Horas sin Copilot (prob)</t>
        </is>
      </c>
      <c r="D2" s="36" t="inlineStr">
        <is>
          <t>Horas con Copilot (prob)</t>
        </is>
      </c>
      <c r="E2" s="36" t="inlineStr">
        <is>
          <t>Ahorro (h)</t>
        </is>
      </c>
      <c r="F2" s="36" t="inlineStr">
        <is>
          <t>Ahorro (%)</t>
        </is>
      </c>
    </row>
    <row r="3">
      <c r="A3" s="37" t="inlineStr">
        <is>
          <t>Infraestructura</t>
        </is>
      </c>
      <c r="B3" s="38" t="n">
        <v>5</v>
      </c>
      <c r="C3" s="39" t="n">
        <v>9</v>
      </c>
      <c r="D3" s="39" t="n">
        <v>2.8</v>
      </c>
      <c r="E3" s="40">
        <f>C3-D3</f>
        <v/>
      </c>
      <c r="F3" s="41">
        <f>IF(C3&gt;0,(C3-D3)/C3,0)</f>
        <v/>
      </c>
    </row>
    <row r="4">
      <c r="A4" s="42" t="inlineStr">
        <is>
          <t>Modelos</t>
        </is>
      </c>
      <c r="B4" s="43" t="n">
        <v>5</v>
      </c>
      <c r="C4" s="44" t="n">
        <v>5.8</v>
      </c>
      <c r="D4" s="44" t="n">
        <v>1.8</v>
      </c>
      <c r="E4" s="45">
        <f>C4-D4</f>
        <v/>
      </c>
      <c r="F4" s="46">
        <f>IF(C4&gt;0,(C4-D4)/C4,0)</f>
        <v/>
      </c>
    </row>
    <row r="5">
      <c r="A5" s="37" t="inlineStr">
        <is>
          <t>DTOs</t>
        </is>
      </c>
      <c r="B5" s="38" t="n">
        <v>3</v>
      </c>
      <c r="C5" s="39" t="n">
        <v>3.5</v>
      </c>
      <c r="D5" s="39" t="n">
        <v>1</v>
      </c>
      <c r="E5" s="40">
        <f>C5-D5</f>
        <v/>
      </c>
      <c r="F5" s="41">
        <f>IF(C5&gt;0,(C5-D5)/C5,0)</f>
        <v/>
      </c>
    </row>
    <row r="6">
      <c r="A6" s="42" t="inlineStr">
        <is>
          <t>Lógica Negocio</t>
        </is>
      </c>
      <c r="B6" s="43" t="n">
        <v>4</v>
      </c>
      <c r="C6" s="44" t="n">
        <v>14</v>
      </c>
      <c r="D6" s="44" t="n">
        <v>4.5</v>
      </c>
      <c r="E6" s="45">
        <f>C6-D6</f>
        <v/>
      </c>
      <c r="F6" s="46">
        <f>IF(C6&gt;0,(C6-D6)/C6,0)</f>
        <v/>
      </c>
    </row>
    <row r="7">
      <c r="A7" s="37" t="inlineStr">
        <is>
          <t>Servicios</t>
        </is>
      </c>
      <c r="B7" s="38" t="n">
        <v>4</v>
      </c>
      <c r="C7" s="39" t="n">
        <v>6.5</v>
      </c>
      <c r="D7" s="39" t="n">
        <v>2.2</v>
      </c>
      <c r="E7" s="40">
        <f>C7-D7</f>
        <v/>
      </c>
      <c r="F7" s="41">
        <f>IF(C7&gt;0,(C7-D7)/C7,0)</f>
        <v/>
      </c>
    </row>
    <row r="8">
      <c r="A8" s="42" t="inlineStr">
        <is>
          <t>Controladores</t>
        </is>
      </c>
      <c r="B8" s="43" t="n">
        <v>3</v>
      </c>
      <c r="C8" s="44" t="n">
        <v>7.5</v>
      </c>
      <c r="D8" s="44" t="n">
        <v>2.1</v>
      </c>
      <c r="E8" s="45">
        <f>C8-D8</f>
        <v/>
      </c>
      <c r="F8" s="46">
        <f>IF(C8&gt;0,(C8-D8)/C8,0)</f>
        <v/>
      </c>
    </row>
    <row r="9">
      <c r="A9" s="37" t="inlineStr">
        <is>
          <t>Tests</t>
        </is>
      </c>
      <c r="B9" s="38" t="n">
        <v>4</v>
      </c>
      <c r="C9" s="39" t="n">
        <v>17</v>
      </c>
      <c r="D9" s="39" t="n">
        <v>5.5</v>
      </c>
      <c r="E9" s="40">
        <f>C9-D9</f>
        <v/>
      </c>
      <c r="F9" s="41">
        <f>IF(C9&gt;0,(C9-D9)/C9,0)</f>
        <v/>
      </c>
    </row>
    <row r="10">
      <c r="A10" s="42" t="inlineStr">
        <is>
          <t>Documentación</t>
        </is>
      </c>
      <c r="B10" s="43" t="n">
        <v>2</v>
      </c>
      <c r="C10" s="44" t="n">
        <v>3</v>
      </c>
      <c r="D10" s="44" t="n">
        <v>0.8</v>
      </c>
      <c r="E10" s="45">
        <f>C10-D10</f>
        <v/>
      </c>
      <c r="F10" s="46">
        <f>IF(C10&gt;0,(C10-D10)/C10,0)</f>
        <v/>
      </c>
    </row>
    <row r="11" ht="24" customHeight="1">
      <c r="A11" s="47" t="inlineStr">
        <is>
          <t>TOTAL</t>
        </is>
      </c>
      <c r="B11" s="48" t="n"/>
      <c r="C11" s="33">
        <f>SUM(C3:C10)</f>
        <v/>
      </c>
      <c r="D11" s="33">
        <f>SUM(D3:D10)</f>
        <v/>
      </c>
      <c r="E11" s="33">
        <f>C11-D11</f>
        <v/>
      </c>
      <c r="F11" s="49">
        <f>IF(C11&gt;0,(C11-D11)/C11,0)</f>
        <v/>
      </c>
    </row>
    <row r="13">
      <c r="A13" s="50" t="inlineStr">
        <is>
          <t>Equivalencia:  1 jornada laboral = 8 h  ·  Horas sin Copilot ≈  =ROUND(C11/8,1)  jornadas  ·  Con Copilot ≈  =ROUND(D11/8,1)  jornadas</t>
        </is>
      </c>
    </row>
    <row r="14">
      <c r="A14" s="51" t="inlineStr">
        <is>
          <t>Jornadas sin Copilot</t>
        </is>
      </c>
      <c r="B14" s="52">
        <f>ROUND(C11/8,1)</f>
        <v/>
      </c>
      <c r="C14" s="51" t="inlineStr">
        <is>
          <t>Jornadas con Copilot</t>
        </is>
      </c>
      <c r="D14" s="53">
        <f>ROUND(D11/8,1)</f>
        <v/>
      </c>
      <c r="E14" s="51" t="inlineStr">
        <is>
          <t>Jornadas ahorradas</t>
        </is>
      </c>
      <c r="F14" s="54">
        <f>ROUND((C11-D11)/8,1)</f>
        <v/>
      </c>
    </row>
  </sheetData>
  <mergeCells count="3">
    <mergeCell ref="A13:F13"/>
    <mergeCell ref="A11:B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2" customWidth="1" min="4" max="4"/>
    <col width="36" customWidth="1" min="5" max="5"/>
    <col width="6" customWidth="1" min="6" max="6"/>
  </cols>
  <sheetData>
    <row r="1" ht="28" customHeight="1">
      <c r="A1" s="35" t="inlineStr">
        <is>
          <t>Modelo de Datos — Entidades y Relaciones</t>
        </is>
      </c>
    </row>
    <row r="3">
      <c r="A3" s="55" t="inlineStr">
        <is>
          <t xml:space="preserve">  TodoItem</t>
        </is>
      </c>
    </row>
    <row r="4">
      <c r="A4" s="36" t="inlineStr">
        <is>
          <t>Campo</t>
        </is>
      </c>
      <c r="B4" s="36" t="inlineStr">
        <is>
          <t>Tipo</t>
        </is>
      </c>
      <c r="C4" s="36" t="inlineStr">
        <is>
          <t>Constraint</t>
        </is>
      </c>
      <c r="D4" s="36" t="inlineStr">
        <is>
          <t>Nullable</t>
        </is>
      </c>
      <c r="E4" s="36" t="inlineStr">
        <is>
          <t>Notas</t>
        </is>
      </c>
    </row>
    <row r="5">
      <c r="A5" s="56" t="inlineStr">
        <is>
          <t>Id</t>
        </is>
      </c>
      <c r="B5" s="56" t="inlineStr">
        <is>
          <t>int</t>
        </is>
      </c>
      <c r="C5" s="56" t="inlineStr">
        <is>
          <t>PK</t>
        </is>
      </c>
      <c r="D5" s="56" t="inlineStr">
        <is>
          <t>Sí</t>
        </is>
      </c>
      <c r="E5" s="56" t="inlineStr">
        <is>
          <t>Autogenerada</t>
        </is>
      </c>
    </row>
    <row r="6">
      <c r="A6" s="57" t="inlineStr">
        <is>
          <t>Title</t>
        </is>
      </c>
      <c r="B6" s="57" t="inlineStr">
        <is>
          <t>string</t>
        </is>
      </c>
      <c r="C6" s="57" t="inlineStr">
        <is>
          <t>—</t>
        </is>
      </c>
      <c r="D6" s="57" t="inlineStr">
        <is>
          <t>No</t>
        </is>
      </c>
      <c r="E6" s="57" t="inlineStr">
        <is>
          <t>Máx. 255 caracteres</t>
        </is>
      </c>
    </row>
    <row r="7">
      <c r="A7" s="56" t="inlineStr">
        <is>
          <t>IsCompleted</t>
        </is>
      </c>
      <c r="B7" s="56" t="inlineStr">
        <is>
          <t>bool</t>
        </is>
      </c>
      <c r="C7" s="56" t="inlineStr">
        <is>
          <t>—</t>
        </is>
      </c>
      <c r="D7" s="56" t="inlineStr">
        <is>
          <t>No</t>
        </is>
      </c>
      <c r="E7" s="56" t="inlineStr">
        <is>
          <t>Default: false</t>
        </is>
      </c>
    </row>
    <row r="8">
      <c r="A8" s="57" t="inlineStr">
        <is>
          <t>CreatedAt</t>
        </is>
      </c>
      <c r="B8" s="57" t="inlineStr">
        <is>
          <t>DateTime</t>
        </is>
      </c>
      <c r="C8" s="57" t="inlineStr">
        <is>
          <t>—</t>
        </is>
      </c>
      <c r="D8" s="57" t="inlineStr">
        <is>
          <t>No</t>
        </is>
      </c>
      <c r="E8" s="57" t="inlineStr">
        <is>
          <t>Asignada al crear</t>
        </is>
      </c>
    </row>
    <row r="9">
      <c r="A9" s="56" t="inlineStr">
        <is>
          <t>EsRepetitiva</t>
        </is>
      </c>
      <c r="B9" s="56" t="inlineStr">
        <is>
          <t>bool</t>
        </is>
      </c>
      <c r="C9" s="56" t="inlineStr">
        <is>
          <t>—</t>
        </is>
      </c>
      <c r="D9" s="56" t="inlineStr">
        <is>
          <t>No</t>
        </is>
      </c>
      <c r="E9" s="56" t="inlineStr">
        <is>
          <t>Default: false</t>
        </is>
      </c>
    </row>
    <row r="10">
      <c r="A10" s="57" t="inlineStr">
        <is>
          <t>Recurrencia</t>
        </is>
      </c>
      <c r="B10" s="57" t="inlineStr">
        <is>
          <t>TipoRecurrencia?</t>
        </is>
      </c>
      <c r="C10" s="57" t="inlineStr">
        <is>
          <t>—</t>
        </is>
      </c>
      <c r="D10" s="57" t="inlineStr">
        <is>
          <t>Sí</t>
        </is>
      </c>
      <c r="E10" s="57" t="inlineStr">
        <is>
          <t>Null si no es repetitiva</t>
        </is>
      </c>
    </row>
    <row r="11">
      <c r="A11" s="56" t="inlineStr">
        <is>
          <t>ProximaFecha</t>
        </is>
      </c>
      <c r="B11" s="56" t="inlineStr">
        <is>
          <t>DateTime?</t>
        </is>
      </c>
      <c r="C11" s="56" t="inlineStr">
        <is>
          <t>—</t>
        </is>
      </c>
      <c r="D11" s="56" t="inlineStr">
        <is>
          <t>Sí</t>
        </is>
      </c>
      <c r="E11" s="56" t="inlineStr">
        <is>
          <t>Calculada al completar</t>
        </is>
      </c>
    </row>
    <row r="12">
      <c r="A12" s="57" t="inlineStr">
        <is>
          <t>PlantillaId</t>
        </is>
      </c>
      <c r="B12" s="57" t="inlineStr">
        <is>
          <t>int?</t>
        </is>
      </c>
      <c r="C12" s="57" t="inlineStr">
        <is>
          <t>FK</t>
        </is>
      </c>
      <c r="D12" s="57" t="inlineStr">
        <is>
          <t>Sí</t>
        </is>
      </c>
      <c r="E12" s="57" t="inlineStr">
        <is>
          <t>Ref. a PlantillaTarea</t>
        </is>
      </c>
    </row>
    <row r="13">
      <c r="A13" s="56" t="inlineStr">
        <is>
          <t>UsuarioAsignadoId</t>
        </is>
      </c>
      <c r="B13" s="56" t="inlineStr">
        <is>
          <t>int?</t>
        </is>
      </c>
      <c r="C13" s="56" t="inlineStr">
        <is>
          <t>FK</t>
        </is>
      </c>
      <c r="D13" s="56" t="inlineStr">
        <is>
          <t>Sí</t>
        </is>
      </c>
      <c r="E13" s="56" t="inlineStr">
        <is>
          <t>Ref. a UsuarioAsignado. SetNull al borrar</t>
        </is>
      </c>
    </row>
    <row r="15">
      <c r="A15" s="55" t="inlineStr">
        <is>
          <t xml:space="preserve">  UsuarioAsignado</t>
        </is>
      </c>
    </row>
    <row r="16">
      <c r="A16" s="36" t="inlineStr">
        <is>
          <t>Campo</t>
        </is>
      </c>
      <c r="B16" s="36" t="inlineStr">
        <is>
          <t>Tipo</t>
        </is>
      </c>
      <c r="C16" s="36" t="inlineStr">
        <is>
          <t>Constraint</t>
        </is>
      </c>
      <c r="D16" s="36" t="inlineStr">
        <is>
          <t>Nullable</t>
        </is>
      </c>
      <c r="E16" s="36" t="inlineStr">
        <is>
          <t>Notas</t>
        </is>
      </c>
    </row>
    <row r="17">
      <c r="A17" s="56" t="inlineStr">
        <is>
          <t>Id</t>
        </is>
      </c>
      <c r="B17" s="56" t="inlineStr">
        <is>
          <t>int</t>
        </is>
      </c>
      <c r="C17" s="56" t="inlineStr">
        <is>
          <t>PK</t>
        </is>
      </c>
      <c r="D17" s="56" t="inlineStr">
        <is>
          <t>No</t>
        </is>
      </c>
      <c r="E17" s="56" t="inlineStr">
        <is>
          <t>Autogenerada</t>
        </is>
      </c>
    </row>
    <row r="18">
      <c r="A18" s="57" t="inlineStr">
        <is>
          <t>Nombre</t>
        </is>
      </c>
      <c r="B18" s="57" t="inlineStr">
        <is>
          <t>string</t>
        </is>
      </c>
      <c r="C18" s="57" t="inlineStr">
        <is>
          <t>—</t>
        </is>
      </c>
      <c r="D18" s="57" t="inlineStr">
        <is>
          <t>No</t>
        </is>
      </c>
      <c r="E18" s="57" t="inlineStr">
        <is>
          <t>Máx. 100 caracteres</t>
        </is>
      </c>
    </row>
    <row r="19">
      <c r="A19" s="56" t="inlineStr">
        <is>
          <t>Email</t>
        </is>
      </c>
      <c r="B19" s="56" t="inlineStr">
        <is>
          <t>string</t>
        </is>
      </c>
      <c r="C19" s="56" t="inlineStr">
        <is>
          <t>IX</t>
        </is>
      </c>
      <c r="D19" s="56" t="inlineStr">
        <is>
          <t>No</t>
        </is>
      </c>
      <c r="E19" s="56" t="inlineStr">
        <is>
          <t>Único, máx. 200 caracteres</t>
        </is>
      </c>
    </row>
    <row r="21">
      <c r="A21" s="55" t="inlineStr">
        <is>
          <t xml:space="preserve">  PlantillaTarea</t>
        </is>
      </c>
    </row>
    <row r="22">
      <c r="A22" s="36" t="inlineStr">
        <is>
          <t>Campo</t>
        </is>
      </c>
      <c r="B22" s="36" t="inlineStr">
        <is>
          <t>Tipo</t>
        </is>
      </c>
      <c r="C22" s="36" t="inlineStr">
        <is>
          <t>Constraint</t>
        </is>
      </c>
      <c r="D22" s="36" t="inlineStr">
        <is>
          <t>Nullable</t>
        </is>
      </c>
      <c r="E22" s="36" t="inlineStr">
        <is>
          <t>Notas</t>
        </is>
      </c>
    </row>
    <row r="23">
      <c r="A23" s="56" t="inlineStr">
        <is>
          <t>Id</t>
        </is>
      </c>
      <c r="B23" s="56" t="inlineStr">
        <is>
          <t>int</t>
        </is>
      </c>
      <c r="C23" s="56" t="inlineStr">
        <is>
          <t>PK</t>
        </is>
      </c>
      <c r="D23" s="56" t="inlineStr">
        <is>
          <t>No</t>
        </is>
      </c>
      <c r="E23" s="56" t="inlineStr">
        <is>
          <t>Autogenerada</t>
        </is>
      </c>
    </row>
    <row r="24">
      <c r="A24" s="57" t="inlineStr">
        <is>
          <t>Titulo</t>
        </is>
      </c>
      <c r="B24" s="57" t="inlineStr">
        <is>
          <t>string</t>
        </is>
      </c>
      <c r="C24" s="57" t="inlineStr">
        <is>
          <t>—</t>
        </is>
      </c>
      <c r="D24" s="57" t="inlineStr">
        <is>
          <t>No</t>
        </is>
      </c>
      <c r="E24" s="57" t="inlineStr">
        <is>
          <t>Título por defecto</t>
        </is>
      </c>
    </row>
    <row r="25">
      <c r="A25" s="56" t="inlineStr">
        <is>
          <t>EsRepetitiva</t>
        </is>
      </c>
      <c r="B25" s="56" t="inlineStr">
        <is>
          <t>bool</t>
        </is>
      </c>
      <c r="C25" s="56" t="inlineStr">
        <is>
          <t>—</t>
        </is>
      </c>
      <c r="D25" s="56" t="inlineStr">
        <is>
          <t>No</t>
        </is>
      </c>
      <c r="E25" s="56" t="inlineStr">
        <is>
          <t>Default: false</t>
        </is>
      </c>
    </row>
    <row r="26">
      <c r="A26" s="57" t="inlineStr">
        <is>
          <t>Recurrencia</t>
        </is>
      </c>
      <c r="B26" s="57" t="inlineStr">
        <is>
          <t>TipoRecurrencia?</t>
        </is>
      </c>
      <c r="C26" s="57" t="inlineStr">
        <is>
          <t>—</t>
        </is>
      </c>
      <c r="D26" s="57" t="inlineStr">
        <is>
          <t>Sí</t>
        </is>
      </c>
      <c r="E26" s="57" t="inlineStr">
        <is>
          <t>Null si no es repetitiva</t>
        </is>
      </c>
    </row>
    <row r="28">
      <c r="A28" s="55" t="inlineStr">
        <is>
          <t xml:space="preserve">  Relaciones entre entidades</t>
        </is>
      </c>
    </row>
    <row r="29">
      <c r="A29" s="36" t="inlineStr">
        <is>
          <t>Origen</t>
        </is>
      </c>
      <c r="B29" s="36" t="inlineStr">
        <is>
          <t>Cardinalidad</t>
        </is>
      </c>
      <c r="C29" s="36" t="inlineStr">
        <is>
          <t>Destino</t>
        </is>
      </c>
      <c r="D29" s="36" t="inlineStr">
        <is>
          <t>FK</t>
        </is>
      </c>
      <c r="E29" s="36" t="inlineStr">
        <is>
          <t>OnDelete</t>
        </is>
      </c>
    </row>
    <row r="30">
      <c r="A30" s="56" t="inlineStr">
        <is>
          <t>UsuarioAsignado</t>
        </is>
      </c>
      <c r="B30" s="56" t="inlineStr">
        <is>
          <t>1 → N</t>
        </is>
      </c>
      <c r="C30" s="56" t="inlineStr">
        <is>
          <t>TodoItem</t>
        </is>
      </c>
      <c r="D30" s="56" t="inlineStr">
        <is>
          <t>UsuarioAsignadoId</t>
        </is>
      </c>
      <c r="E30" s="56" t="inlineStr">
        <is>
          <t>SetNull</t>
        </is>
      </c>
    </row>
    <row r="31">
      <c r="A31" s="57" t="inlineStr">
        <is>
          <t>PlantillaTarea</t>
        </is>
      </c>
      <c r="B31" s="57" t="inlineStr">
        <is>
          <t>1 → N</t>
        </is>
      </c>
      <c r="C31" s="57" t="inlineStr">
        <is>
          <t>TodoItem</t>
        </is>
      </c>
      <c r="D31" s="57" t="inlineStr">
        <is>
          <t>PlantillaId</t>
        </is>
      </c>
      <c r="E31" s="57" t="inlineStr">
        <is>
          <t>SetNull</t>
        </is>
      </c>
    </row>
    <row r="32">
      <c r="A32" s="56" t="inlineStr">
        <is>
          <t>TodoItem</t>
        </is>
      </c>
      <c r="B32" s="56" t="inlineStr">
        <is>
          <t>N → 1</t>
        </is>
      </c>
      <c r="C32" s="56" t="inlineStr">
        <is>
          <t>UsuarioAsignado</t>
        </is>
      </c>
      <c r="D32" s="56" t="inlineStr">
        <is>
          <t>UsuarioAsignadoId</t>
        </is>
      </c>
      <c r="E32" s="56" t="inlineStr">
        <is>
          <t>—</t>
        </is>
      </c>
    </row>
    <row r="33">
      <c r="A33" s="57" t="inlineStr">
        <is>
          <t>TodoItem</t>
        </is>
      </c>
      <c r="B33" s="57" t="inlineStr">
        <is>
          <t>N → 1</t>
        </is>
      </c>
      <c r="C33" s="57" t="inlineStr">
        <is>
          <t>PlantillaTarea</t>
        </is>
      </c>
      <c r="D33" s="57" t="inlineStr">
        <is>
          <t>PlantillaId</t>
        </is>
      </c>
      <c r="E33" s="57" t="inlineStr">
        <is>
          <t>—</t>
        </is>
      </c>
    </row>
  </sheetData>
  <mergeCells count="5">
    <mergeCell ref="A28:F28"/>
    <mergeCell ref="A1:F1"/>
    <mergeCell ref="A3:F3"/>
    <mergeCell ref="A21:F2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4" customWidth="1" min="3" max="3"/>
    <col width="16" customWidth="1" min="4" max="4"/>
    <col width="14" customWidth="1" min="5" max="5"/>
    <col width="36" customWidth="1" min="6" max="6"/>
    <col width="6" customWidth="1" min="7" max="7"/>
  </cols>
  <sheetData>
    <row r="1" ht="28" customHeight="1">
      <c r="A1" s="35" t="inlineStr">
        <is>
          <t>Endpoints API REST</t>
        </is>
      </c>
    </row>
    <row r="3">
      <c r="A3" s="55" t="inlineStr">
        <is>
          <t xml:space="preserve">  /api/tareas</t>
        </is>
      </c>
    </row>
    <row r="4">
      <c r="A4" s="36" t="inlineStr">
        <is>
          <t>Verbo</t>
        </is>
      </c>
      <c r="B4" s="36" t="inlineStr">
        <is>
          <t>Ruta completa</t>
        </is>
      </c>
      <c r="C4" s="36" t="inlineStr">
        <is>
          <t>Descripción</t>
        </is>
      </c>
      <c r="D4" s="36" t="inlineStr">
        <is>
          <t>Respuesta OK</t>
        </is>
      </c>
      <c r="E4" s="36" t="inlineStr">
        <is>
          <t>Error</t>
        </is>
      </c>
      <c r="F4" s="36" t="inlineStr">
        <is>
          <t>Notas</t>
        </is>
      </c>
    </row>
    <row r="5" ht="28" customHeight="1">
      <c r="A5" s="58" t="inlineStr">
        <is>
          <t>GET</t>
        </is>
      </c>
      <c r="B5" s="17" t="inlineStr">
        <is>
          <t>/api/tareas</t>
        </is>
      </c>
      <c r="C5" s="11" t="inlineStr">
        <is>
          <t>Listar todas las tareas</t>
        </is>
      </c>
      <c r="D5" s="59" t="inlineStr">
        <is>
          <t>200 + array</t>
        </is>
      </c>
      <c r="E5" s="59" t="inlineStr">
        <is>
          <t>—</t>
        </is>
      </c>
      <c r="F5" s="17" t="inlineStr">
        <is>
          <t>Sin parámetros</t>
        </is>
      </c>
    </row>
    <row r="6" ht="28" customHeight="1">
      <c r="A6" s="58" t="inlineStr">
        <is>
          <t>GET</t>
        </is>
      </c>
      <c r="B6" s="22" t="inlineStr">
        <is>
          <t>/api/tareas/{id}</t>
        </is>
      </c>
      <c r="C6" s="23" t="inlineStr">
        <is>
          <t>Obtener tarea por ID</t>
        </is>
      </c>
      <c r="D6" s="60" t="inlineStr">
        <is>
          <t>200 + objeto</t>
        </is>
      </c>
      <c r="E6" s="60" t="inlineStr">
        <is>
          <t>404</t>
        </is>
      </c>
      <c r="F6" s="22" t="inlineStr">
        <is>
          <t>id: int en ruta</t>
        </is>
      </c>
    </row>
    <row r="7" ht="28" customHeight="1">
      <c r="A7" s="61" t="inlineStr">
        <is>
          <t>POST</t>
        </is>
      </c>
      <c r="B7" s="17" t="inlineStr">
        <is>
          <t>/api/tareas</t>
        </is>
      </c>
      <c r="C7" s="11" t="inlineStr">
        <is>
          <t>Crear nueva tarea</t>
        </is>
      </c>
      <c r="D7" s="59" t="inlineStr">
        <is>
          <t>201 + objeto</t>
        </is>
      </c>
      <c r="E7" s="59" t="inlineStr">
        <is>
          <t>400</t>
        </is>
      </c>
      <c r="F7" s="17" t="inlineStr">
        <is>
          <t>Body: CrearTareaDto</t>
        </is>
      </c>
    </row>
    <row r="8" ht="28" customHeight="1">
      <c r="A8" s="62" t="inlineStr">
        <is>
          <t>PUT</t>
        </is>
      </c>
      <c r="B8" s="22" t="inlineStr">
        <is>
          <t>/api/tareas/{id}</t>
        </is>
      </c>
      <c r="C8" s="23" t="inlineStr">
        <is>
          <t>Actualizar título o estado</t>
        </is>
      </c>
      <c r="D8" s="60" t="inlineStr">
        <is>
          <t>200 + objeto</t>
        </is>
      </c>
      <c r="E8" s="60" t="inlineStr">
        <is>
          <t>404 / 400</t>
        </is>
      </c>
      <c r="F8" s="22" t="inlineStr">
        <is>
          <t>Body: ActualizarTareaDto</t>
        </is>
      </c>
    </row>
    <row r="9" ht="28" customHeight="1">
      <c r="A9" s="63" t="inlineStr">
        <is>
          <t>DELETE</t>
        </is>
      </c>
      <c r="B9" s="17" t="inlineStr">
        <is>
          <t>/api/tareas/{id}</t>
        </is>
      </c>
      <c r="C9" s="11" t="inlineStr">
        <is>
          <t>Eliminar tarea permanentemente</t>
        </is>
      </c>
      <c r="D9" s="59" t="inlineStr">
        <is>
          <t>204</t>
        </is>
      </c>
      <c r="E9" s="59" t="inlineStr">
        <is>
          <t>404</t>
        </is>
      </c>
      <c r="F9" s="17" t="inlineStr">
        <is>
          <t>id: int en ruta</t>
        </is>
      </c>
    </row>
    <row r="10" ht="28" customHeight="1">
      <c r="A10" s="61" t="inlineStr">
        <is>
          <t>POST</t>
        </is>
      </c>
      <c r="B10" s="22" t="inlineStr">
        <is>
          <t>/api/tareas/{id}/completar</t>
        </is>
      </c>
      <c r="C10" s="23" t="inlineStr">
        <is>
          <t>Completar; si repetitiva genera siguiente ocurrencia</t>
        </is>
      </c>
      <c r="D10" s="60" t="inlineStr">
        <is>
          <t>200 + objeto</t>
        </is>
      </c>
      <c r="E10" s="60" t="inlineStr">
        <is>
          <t>404</t>
        </is>
      </c>
      <c r="F10" s="22" t="inlineStr">
        <is>
          <t>Sin body</t>
        </is>
      </c>
    </row>
    <row r="12">
      <c r="A12" s="55" t="inlineStr">
        <is>
          <t xml:space="preserve">  /api/usuariosasignados</t>
        </is>
      </c>
    </row>
    <row r="13">
      <c r="A13" s="36" t="inlineStr">
        <is>
          <t>Verbo</t>
        </is>
      </c>
      <c r="B13" s="36" t="inlineStr">
        <is>
          <t>Ruta completa</t>
        </is>
      </c>
      <c r="C13" s="36" t="inlineStr">
        <is>
          <t>Descripción</t>
        </is>
      </c>
      <c r="D13" s="36" t="inlineStr">
        <is>
          <t>Respuesta OK</t>
        </is>
      </c>
      <c r="E13" s="36" t="inlineStr">
        <is>
          <t>Error</t>
        </is>
      </c>
      <c r="F13" s="36" t="inlineStr">
        <is>
          <t>Notas</t>
        </is>
      </c>
    </row>
    <row r="14" ht="28" customHeight="1">
      <c r="A14" s="58" t="inlineStr">
        <is>
          <t>GET</t>
        </is>
      </c>
      <c r="B14" s="17" t="inlineStr">
        <is>
          <t>/api/usuariosasignados</t>
        </is>
      </c>
      <c r="C14" s="11" t="inlineStr">
        <is>
          <t>Listar todos los usuarios</t>
        </is>
      </c>
      <c r="D14" s="59" t="inlineStr">
        <is>
          <t>200 + array</t>
        </is>
      </c>
      <c r="E14" s="59" t="inlineStr">
        <is>
          <t>—</t>
        </is>
      </c>
      <c r="F14" s="17" t="inlineStr">
        <is>
          <t>Sin parámetros</t>
        </is>
      </c>
    </row>
    <row r="15" ht="28" customHeight="1">
      <c r="A15" s="58" t="inlineStr">
        <is>
          <t>GET</t>
        </is>
      </c>
      <c r="B15" s="22" t="inlineStr">
        <is>
          <t>/api/usuariosasignados/{id}</t>
        </is>
      </c>
      <c r="C15" s="23" t="inlineStr">
        <is>
          <t>Obtener usuario por ID</t>
        </is>
      </c>
      <c r="D15" s="60" t="inlineStr">
        <is>
          <t>200 + objeto</t>
        </is>
      </c>
      <c r="E15" s="60" t="inlineStr">
        <is>
          <t>404</t>
        </is>
      </c>
      <c r="F15" s="22" t="inlineStr">
        <is>
          <t>id: int en ruta</t>
        </is>
      </c>
    </row>
    <row r="16" ht="28" customHeight="1">
      <c r="A16" s="61" t="inlineStr">
        <is>
          <t>POST</t>
        </is>
      </c>
      <c r="B16" s="17" t="inlineStr">
        <is>
          <t>/api/usuariosasignados</t>
        </is>
      </c>
      <c r="C16" s="11" t="inlineStr">
        <is>
          <t>Crear usuario nuevo</t>
        </is>
      </c>
      <c r="D16" s="59" t="inlineStr">
        <is>
          <t>201 + objeto</t>
        </is>
      </c>
      <c r="E16" s="59" t="inlineStr">
        <is>
          <t>400</t>
        </is>
      </c>
      <c r="F16" s="17" t="inlineStr">
        <is>
          <t>Body: CrearUsuarioDto</t>
        </is>
      </c>
    </row>
    <row r="17" ht="28" customHeight="1">
      <c r="A17" s="62" t="inlineStr">
        <is>
          <t>PUT</t>
        </is>
      </c>
      <c r="B17" s="22" t="inlineStr">
        <is>
          <t>/api/usuariosasignados/{id}</t>
        </is>
      </c>
      <c r="C17" s="23" t="inlineStr">
        <is>
          <t>Actualizar nombre o email</t>
        </is>
      </c>
      <c r="D17" s="60" t="inlineStr">
        <is>
          <t>200 + objeto</t>
        </is>
      </c>
      <c r="E17" s="60" t="inlineStr">
        <is>
          <t>404 / 400</t>
        </is>
      </c>
      <c r="F17" s="22" t="inlineStr">
        <is>
          <t>Body: ActualizarUsuarioDto</t>
        </is>
      </c>
    </row>
    <row r="18" ht="28" customHeight="1">
      <c r="A18" s="63" t="inlineStr">
        <is>
          <t>DELETE</t>
        </is>
      </c>
      <c r="B18" s="17" t="inlineStr">
        <is>
          <t>/api/usuariosasignados/{id}</t>
        </is>
      </c>
      <c r="C18" s="11" t="inlineStr">
        <is>
          <t>Eliminar (tareas quedan sin usuario)</t>
        </is>
      </c>
      <c r="D18" s="59" t="inlineStr">
        <is>
          <t>204</t>
        </is>
      </c>
      <c r="E18" s="59" t="inlineStr">
        <is>
          <t>404</t>
        </is>
      </c>
      <c r="F18" s="17" t="inlineStr">
        <is>
          <t>Cascada SetNull en FK</t>
        </is>
      </c>
    </row>
    <row r="20">
      <c r="A20" s="55" t="inlineStr">
        <is>
          <t xml:space="preserve">  /api/plantillas</t>
        </is>
      </c>
    </row>
    <row r="21">
      <c r="A21" s="36" t="inlineStr">
        <is>
          <t>Verbo</t>
        </is>
      </c>
      <c r="B21" s="36" t="inlineStr">
        <is>
          <t>Ruta completa</t>
        </is>
      </c>
      <c r="C21" s="36" t="inlineStr">
        <is>
          <t>Descripción</t>
        </is>
      </c>
      <c r="D21" s="36" t="inlineStr">
        <is>
          <t>Respuesta OK</t>
        </is>
      </c>
      <c r="E21" s="36" t="inlineStr">
        <is>
          <t>Error</t>
        </is>
      </c>
      <c r="F21" s="36" t="inlineStr">
        <is>
          <t>Notas</t>
        </is>
      </c>
    </row>
    <row r="22" ht="28" customHeight="1">
      <c r="A22" s="58" t="inlineStr">
        <is>
          <t>GET</t>
        </is>
      </c>
      <c r="B22" s="17" t="inlineStr">
        <is>
          <t>/api/plantillas</t>
        </is>
      </c>
      <c r="C22" s="11" t="inlineStr">
        <is>
          <t>Listar todas las plantillas</t>
        </is>
      </c>
      <c r="D22" s="59" t="inlineStr">
        <is>
          <t>200 + array</t>
        </is>
      </c>
      <c r="E22" s="59" t="inlineStr">
        <is>
          <t>—</t>
        </is>
      </c>
      <c r="F22" s="17" t="inlineStr">
        <is>
          <t>Sin parámetros</t>
        </is>
      </c>
    </row>
    <row r="23" ht="28" customHeight="1">
      <c r="A23" s="58" t="inlineStr">
        <is>
          <t>GET</t>
        </is>
      </c>
      <c r="B23" s="22" t="inlineStr">
        <is>
          <t>/api/plantillas/{id}</t>
        </is>
      </c>
      <c r="C23" s="23" t="inlineStr">
        <is>
          <t>Obtener plantilla por ID</t>
        </is>
      </c>
      <c r="D23" s="60" t="inlineStr">
        <is>
          <t>200 + objeto</t>
        </is>
      </c>
      <c r="E23" s="60" t="inlineStr">
        <is>
          <t>404</t>
        </is>
      </c>
      <c r="F23" s="22" t="inlineStr">
        <is>
          <t>id: int en ruta</t>
        </is>
      </c>
    </row>
    <row r="24" ht="28" customHeight="1">
      <c r="A24" s="61" t="inlineStr">
        <is>
          <t>POST</t>
        </is>
      </c>
      <c r="B24" s="17" t="inlineStr">
        <is>
          <t>/api/plantillas</t>
        </is>
      </c>
      <c r="C24" s="11" t="inlineStr">
        <is>
          <t>Crear nueva plantilla</t>
        </is>
      </c>
      <c r="D24" s="59" t="inlineStr">
        <is>
          <t>201 + objeto</t>
        </is>
      </c>
      <c r="E24" s="59" t="inlineStr">
        <is>
          <t>400</t>
        </is>
      </c>
      <c r="F24" s="17" t="inlineStr">
        <is>
          <t>Body: CrearPlantillaDto</t>
        </is>
      </c>
    </row>
    <row r="25" ht="28" customHeight="1">
      <c r="A25" s="62" t="inlineStr">
        <is>
          <t>PUT</t>
        </is>
      </c>
      <c r="B25" s="22" t="inlineStr">
        <is>
          <t>/api/plantillas/{id}</t>
        </is>
      </c>
      <c r="C25" s="23" t="inlineStr">
        <is>
          <t>Actualizar plantilla</t>
        </is>
      </c>
      <c r="D25" s="60" t="inlineStr">
        <is>
          <t>200 + objeto</t>
        </is>
      </c>
      <c r="E25" s="60" t="inlineStr">
        <is>
          <t>404 / 400</t>
        </is>
      </c>
      <c r="F25" s="22" t="inlineStr">
        <is>
          <t>Body: ActualizarPlantillaDto</t>
        </is>
      </c>
    </row>
    <row r="26" ht="28" customHeight="1">
      <c r="A26" s="63" t="inlineStr">
        <is>
          <t>DELETE</t>
        </is>
      </c>
      <c r="B26" s="17" t="inlineStr">
        <is>
          <t>/api/plantillas/{id}</t>
        </is>
      </c>
      <c r="C26" s="11" t="inlineStr">
        <is>
          <t>Eliminar plantilla</t>
        </is>
      </c>
      <c r="D26" s="59" t="inlineStr">
        <is>
          <t>204</t>
        </is>
      </c>
      <c r="E26" s="59" t="inlineStr">
        <is>
          <t>404</t>
        </is>
      </c>
      <c r="F26" s="17" t="inlineStr">
        <is>
          <t>Las tareas conservan sus valores</t>
        </is>
      </c>
    </row>
    <row r="27" ht="28" customHeight="1">
      <c r="A27" s="61" t="inlineStr">
        <is>
          <t>POST</t>
        </is>
      </c>
      <c r="B27" s="22" t="inlineStr">
        <is>
          <t>/api/plantillas/{id}/instanciar</t>
        </is>
      </c>
      <c r="C27" s="23" t="inlineStr">
        <is>
          <t>Crear tarea nueva a partir de la plantilla</t>
        </is>
      </c>
      <c r="D27" s="60" t="inlineStr">
        <is>
          <t>201 + objeto</t>
        </is>
      </c>
      <c r="E27" s="60" t="inlineStr">
        <is>
          <t>404</t>
        </is>
      </c>
      <c r="F27" s="22" t="inlineStr">
        <is>
          <t>Sin body; usa valores de la plantilla</t>
        </is>
      </c>
    </row>
  </sheetData>
  <mergeCells count="4">
    <mergeCell ref="A20:G20"/>
    <mergeCell ref="A3:G3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2026-06-24T11:57:36Z</dcterms:created>
  <dcterms:modified xmlns:dcterms="http://purl.org/dc/terms/" xmlns:xsi="http://www.w3.org/2001/XMLSchema-instance" xsi:type="dcterms:W3CDTF">2026-06-24T11:57:36Z</dcterms:modified>
</cp:coreProperties>
</file>